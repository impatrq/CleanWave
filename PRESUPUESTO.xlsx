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 tabRatio="500"/>
  </bookViews>
  <sheets>
    <sheet name="Presupuesto" sheetId="1" r:id="rId1"/>
    <sheet name="Comparativo Proveedores" sheetId="2" r:id="rId2"/>
  </sheets>
  <definedNames>
    <definedName name="_xlnm.Print_Titles" localSheetId="0">Presupuesto!$1:$4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<sst xmlns="http://schemas.openxmlformats.org/spreadsheetml/2006/main" count="97" uniqueCount="69">
  <si>
    <t>PRESUPUESTO CLEAN WAVE</t>
  </si>
  <si>
    <t>Componente / Descripción</t>
  </si>
  <si>
    <t>Función en el Proyecto</t>
  </si>
  <si>
    <t>Proveedor Primario</t>
  </si>
  <si>
    <t>Precio</t>
  </si>
  <si>
    <t>Cant.</t>
  </si>
  <si>
    <t>Subtotal</t>
  </si>
  <si>
    <t>Proveedor Alternativo</t>
  </si>
  <si>
    <t>Observaciones / Notas</t>
  </si>
  <si>
    <t>Estado</t>
  </si>
  <si>
    <t>Raspberry Pi 4 Model B – 4 GB RAM</t>
  </si>
  <si>
    <t>Unidad central de procesamiento. Ejecuta el software de monitoreo, procesa datos de sensores y gestiona la cámara y la conectividad.</t>
  </si>
  <si>
    <t>Starware (MercadoLibre)</t>
  </si>
  <si>
    <t>Tecnoliveusa (MercadoLibre)</t>
  </si>
  <si>
    <t>Verificar disponibilidad de stock. Preferir kit con fuente incluida para simplificar instalación.</t>
  </si>
  <si>
    <r>
      <rPr>
        <sz val="9"/>
        <color rgb="FF375623"/>
        <rFont val="Times New Roman"/>
        <charset val="1"/>
      </rPr>
      <t>✔</t>
    </r>
    <r>
      <rPr>
        <sz val="9"/>
        <color rgb="FF375623"/>
        <rFont val="Calibri"/>
        <charset val="1"/>
      </rPr>
      <t xml:space="preserve"> Confirmado</t>
    </r>
  </si>
  <si>
    <t>Kit Medidor de pH PH-4502C + Sonda E201-C BNC</t>
  </si>
  <si>
    <t>Mide el nivel de acidez/alcalinidad del agua (pH 0–14). La sonda E201 se sumerge directamente en el líquido.</t>
  </si>
  <si>
    <t>RIOTECNO (MercadoLibre)</t>
  </si>
  <si>
    <t>Incluye sonda sumergible E201 + frasco de solución de calibración. Calibrar con solución buffer antes de usar.</t>
  </si>
  <si>
    <t>Sensor Temperatura Digital DS18B20 Sumergible 5m Acero Inoxidable Candy-Ho</t>
  </si>
  <si>
    <t>Mide la temperatura del agua. Sonda de acero inoxidable sellada, sumergible hasta 1 m. Protocolo 1-Wire.</t>
  </si>
  <si>
    <t>Candyho (MercadoLibre)</t>
  </si>
  <si>
    <t>Verificar que el kit incluya la resistencia pull-up de 4.7 kΩ. Sumergible en fluidos no corrosivos.</t>
  </si>
  <si>
    <t>Modulo Sensor De Calidad De Agua Tds Sonda Analogico Arduino</t>
  </si>
  <si>
    <t>Mide la concentración de sólidos disueltos en el agua (ppm). La sonda se introduce en el líquido. Rango: 0–1000 ppm.</t>
  </si>
  <si>
    <t>Hobby Tronica</t>
  </si>
  <si>
    <t>Andino (MercadoLibre)</t>
  </si>
  <si>
    <t>Confirmar que el modelo incluya sonda sumergible separada del módulo electrónico. Alimentación 3.3–5.5 V.</t>
  </si>
  <si>
    <t>Sensor de Turbidez Analógico (sonda sumergible)</t>
  </si>
  <si>
    <t>Detecta partículas suspendidas en el agua midiendo transmitancia de luz. La sonda se sumerge; el módulo queda fuera.</t>
  </si>
  <si>
    <t>La parte superior del módulo NO es sumergible. Solo introducir la sonda en el agua. Salida analógica 0–4.5 V. (Necesita ADC externo, ADS1015 con divisor de tension)</t>
  </si>
  <si>
    <t>Convertidor Step-Down DC 12 V → 5 V / 3 A (15 W)</t>
  </si>
  <si>
    <t>Regula la tensión de la batería 12 V a los 5 V necesarios para la Raspberry Pi y los sensores.</t>
  </si>
  <si>
    <t>TodoMicro (MercadoLibre)</t>
  </si>
  <si>
    <t>Eficiencia ~92–96 %. Incluye protecciones de sobrecorriente, sobretensión y cortocircuito. IP68.</t>
  </si>
  <si>
    <t>Batería Moura 12 V / 18 Ah (12MVA-18) – VRLA/AGM</t>
  </si>
  <si>
    <t>Fuente de alimentación autónoma. Alimenta el convertidor step-down y todo el sistema sin conexión a red.</t>
  </si>
  <si>
    <t>Distribuidores Moura / MercadoLibre</t>
  </si>
  <si>
    <t>Batería equivalente Yuasa NP18-12 12V 18Ah</t>
  </si>
  <si>
    <t>Garantía 12 meses. Apta para UPS/alarmas/paneles solares. Verificar ciclos de carga con el panel solar si aplica.</t>
  </si>
  <si>
    <t>Cámara Arducam 12 MP IMX708 HDR para Raspberry Pi</t>
  </si>
  <si>
    <t>Captura imágenes y video del entorno acuático para análisis visual complementario (visión computacional / IA).</t>
  </si>
  <si>
    <t>Siranet</t>
  </si>
  <si>
    <t>Raspberry Pi Camera Module 3 Oficial</t>
  </si>
  <si>
    <t>Interfaz MIPI CSI-2. Compatible con Raspberry Pi 4. Requiere cable FFC. NO es sumergible; montar en carcasa hermética.</t>
  </si>
  <si>
    <t>Conversor ADC ADS1015 12-Bit I2C 4 Canales para Arduino Raspberry Pi</t>
  </si>
  <si>
    <t>medir una señal analógica desde un sistema digital como los microcontroladores se utilizan los conversores análogo digital (ADC).</t>
  </si>
  <si>
    <t>Conversor Analogico A Digital Adc Ads1115/ads1015 16bit I2c</t>
  </si>
  <si>
    <t>Resolucion de 12 bits, interfaz de comunicacion I2C cuatro entradas analogicas de un solo extremo, o también puede usarse como 2 entradas diferenciales.</t>
  </si>
  <si>
    <t>TOTAL ESTIMADO DEL PROYECTO</t>
  </si>
  <si>
    <t>COMPARATIVO DE PROVEEDORES – COMPONENTES PRINCIPALES</t>
  </si>
  <si>
    <t>Componente</t>
  </si>
  <si>
    <t>Precio ($ARS)</t>
  </si>
  <si>
    <t>Precio Alt. ($ARS)</t>
  </si>
  <si>
    <t>Raspberry Pi 4 B – 4 GB</t>
  </si>
  <si>
    <t>Kit pH PH-4502C + Sonda E201</t>
  </si>
  <si>
    <t>CDR Online (MercadoLibre)</t>
  </si>
  <si>
    <t>Sensor DS18B20 Sumergible</t>
  </si>
  <si>
    <t>Sensor TDS con sonda</t>
  </si>
  <si>
    <t>Sensor Turbidez Analógico</t>
  </si>
  <si>
    <t>Step-Down 12V→5V/3A</t>
  </si>
  <si>
    <t>Batería Moura 12V/18Ah</t>
  </si>
  <si>
    <t>Distribuidores Moura / ML</t>
  </si>
  <si>
    <t>Yuasa NP18-12 (MercadoLibre)</t>
  </si>
  <si>
    <t>Cámara Arducam 12MP IMX708</t>
  </si>
  <si>
    <t>Starware / MercadoLibre</t>
  </si>
  <si>
    <t>Raspberry Pi Cam Mod 3 Oficial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</si>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</sst>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$&quot;#,##0"/>
  </numFmts>
  <fonts count="35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6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name val="Calibri"/>
      <charset val="1"/>
    </font>
    <font>
      <sz val="9"/>
      <name val="Calibri"/>
      <charset val="1"/>
    </font>
    <font>
      <sz val="9"/>
      <color rgb="FF375623"/>
      <name val="Calibri"/>
      <charset val="1"/>
    </font>
    <font>
      <b/>
      <sz val="11"/>
      <color rgb="FFFFFFFF"/>
      <name val="Calibri"/>
      <charset val="1"/>
    </font>
    <font>
      <b/>
      <sz val="12"/>
      <color rgb="FFFFFFFF"/>
      <name val="Calibri"/>
      <charset val="1"/>
    </font>
    <font>
      <sz val="9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rgb="FF375623"/>
      <name val="Times New Roman"/>
      <charset val="1"/>
    </font>
  </fonts>
  <fills count="39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 style="medium">
        <color rgb="FF2F5496"/>
      </left>
      <right/>
      <top style="medium">
        <color rgb="FF2F5496"/>
      </top>
      <bottom style="medium">
        <color rgb="FF2F5496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Border="0" applyAlignment="0" applyProtection="0"/>
    <xf numFmtId="44" fontId="13" fillId="0" borderId="0" applyBorder="0" applyAlignment="0" applyProtection="0"/>
    <xf numFmtId="9" fontId="13" fillId="0" borderId="0" applyBorder="0" applyAlignment="0" applyProtection="0"/>
    <xf numFmtId="41" fontId="13" fillId="0" borderId="0" applyBorder="0" applyAlignment="0" applyProtection="0"/>
    <xf numFmtId="42" fontId="1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10" borderId="9" applyNumberFormat="0" applyAlignment="0" applyProtection="0">
      <alignment vertical="center"/>
    </xf>
    <xf numFmtId="0" fontId="25" fillId="10" borderId="8" applyNumberFormat="0" applyAlignment="0" applyProtection="0">
      <alignment vertical="center"/>
    </xf>
    <xf numFmtId="0" fontId="26" fillId="11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176" fontId="3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/>
    </xf>
    <xf numFmtId="0" fontId="0" fillId="3" borderId="2" xfId="0" applyFill="1" applyBorder="1"/>
    <xf numFmtId="176" fontId="4" fillId="2" borderId="2" xfId="0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176" fontId="8" fillId="4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176" fontId="8" fillId="6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176" fontId="11" fillId="2" borderId="2" xfId="0" applyNumberFormat="1" applyFont="1" applyFill="1" applyBorder="1" applyAlignment="1">
      <alignment horizontal="center" vertical="center"/>
    </xf>
    <xf numFmtId="0" fontId="0" fillId="3" borderId="2" xfId="0" applyFont="1" applyFill="1" applyBorder="1"/>
    <xf numFmtId="0" fontId="12" fillId="6" borderId="4" xfId="0" applyFont="1" applyFill="1" applyBorder="1" applyAlignment="1">
      <alignment horizontal="left" vertical="center" indent="1"/>
    </xf>
    <xf numFmtId="0" fontId="12" fillId="4" borderId="4" xfId="0" applyFont="1" applyFill="1" applyBorder="1" applyAlignment="1">
      <alignment horizontal="left" vertical="center" inden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D6E4F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FF99"/>
      <rgbColor rgb="0099CCFF"/>
      <rgbColor rgb="00FF99CC"/>
      <rgbColor rgb="00CC99FF"/>
      <rgbColor rgb="00FCE4D6"/>
      <rgbColor rgb="003366FF"/>
      <rgbColor rgb="0033CCCC"/>
      <rgbColor rgb="0099CC00"/>
      <rgbColor rgb="00FFCC00"/>
      <rgbColor rgb="00FF9900"/>
      <rgbColor rgb="00C55A11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2F5496"/>
      <rgbColor rgb="00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3"/>
  <sheetViews>
    <sheetView tabSelected="1" topLeftCell="C2" workbookViewId="0">
      <selection activeCell="L5" sqref="L5"/>
    </sheetView>
  </sheetViews>
  <sheetFormatPr defaultColWidth="8.67619047619048" defaultRowHeight="15"/>
  <cols>
    <col min="1" max="1" width="4" customWidth="1"/>
    <col min="2" max="2" width="32" customWidth="1"/>
    <col min="3" max="3" width="38" customWidth="1"/>
    <col min="4" max="4" width="22" customWidth="1"/>
    <col min="5" max="5" width="16" customWidth="1"/>
    <col min="6" max="6" width="6" customWidth="1"/>
    <col min="7" max="7" width="16" customWidth="1"/>
    <col min="8" max="8" width="24" customWidth="1"/>
    <col min="9" max="9" width="16" customWidth="1"/>
    <col min="10" max="10" width="40" customWidth="1"/>
    <col min="11" max="11" width="14" customWidth="1"/>
  </cols>
  <sheetData>
    <row r="1" ht="40" hidden="1" customHeight="1"/>
    <row r="2" ht="33" customHeight="1" spans="1:1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2">
      <c r="A3" s="10"/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4</v>
      </c>
      <c r="J3" s="10" t="s">
        <v>8</v>
      </c>
      <c r="K3" s="10" t="s">
        <v>9</v>
      </c>
    </row>
    <row r="4" ht="39.75" customHeight="1" spans="1:12">
      <c r="A4" s="11">
        <v>1</v>
      </c>
      <c r="B4" s="12" t="s">
        <v>10</v>
      </c>
      <c r="C4" s="13" t="s">
        <v>11</v>
      </c>
      <c r="D4" s="12" t="s">
        <v>12</v>
      </c>
      <c r="E4" s="14">
        <v>234772</v>
      </c>
      <c r="F4" s="15">
        <v>1</v>
      </c>
      <c r="G4" s="16">
        <f t="shared" ref="G4:G11" si="0">E4*F4</f>
        <v>234772</v>
      </c>
      <c r="H4" s="12" t="s">
        <v>13</v>
      </c>
      <c r="I4" s="14">
        <v>162000</v>
      </c>
      <c r="J4" s="12" t="s">
        <v>14</v>
      </c>
      <c r="K4" s="17" t="s">
        <v>15</v>
      </c>
    </row>
    <row r="5" ht="54.75" customHeight="1" spans="1:12">
      <c r="A5" s="11">
        <v>2</v>
      </c>
      <c r="B5" s="18" t="s">
        <v>16</v>
      </c>
      <c r="C5" s="19" t="s">
        <v>17</v>
      </c>
      <c r="D5" s="18" t="s">
        <v>18</v>
      </c>
      <c r="E5" s="20">
        <v>47457</v>
      </c>
      <c r="F5" s="15">
        <v>1</v>
      </c>
      <c r="G5" s="16">
        <f t="shared" si="0"/>
        <v>47457</v>
      </c>
      <c r="H5" s="18" t="s">
        <v>13</v>
      </c>
      <c r="I5" s="20">
        <v>23000</v>
      </c>
      <c r="J5" s="18" t="s">
        <v>19</v>
      </c>
      <c r="K5" s="17" t="s">
        <v>15</v>
      </c>
    </row>
    <row r="6" ht="54.75" customHeight="1" spans="1:12">
      <c r="A6" s="11">
        <v>3</v>
      </c>
      <c r="B6" s="12" t="s">
        <v>20</v>
      </c>
      <c r="C6" s="21" t="s">
        <v>21</v>
      </c>
      <c r="D6" s="12" t="s">
        <v>22</v>
      </c>
      <c r="E6" s="14">
        <v>6829</v>
      </c>
      <c r="F6" s="15">
        <v>1</v>
      </c>
      <c r="G6" s="16">
        <f t="shared" si="0"/>
        <v>6829</v>
      </c>
      <c r="H6" s="12" t="s">
        <v>22</v>
      </c>
      <c r="I6" s="14">
        <v>6200</v>
      </c>
      <c r="J6" s="12" t="s">
        <v>23</v>
      </c>
      <c r="K6" s="17" t="s">
        <v>15</v>
      </c>
    </row>
    <row r="7" ht="54.75" customHeight="1" spans="1:12">
      <c r="A7" s="11">
        <v>4</v>
      </c>
      <c r="B7" s="19" t="s">
        <v>24</v>
      </c>
      <c r="C7" s="19" t="s">
        <v>25</v>
      </c>
      <c r="D7" s="18" t="s">
        <v>26</v>
      </c>
      <c r="E7" s="20">
        <v>19200</v>
      </c>
      <c r="F7" s="15">
        <v>1</v>
      </c>
      <c r="G7" s="16">
        <f t="shared" si="0"/>
        <v>19200</v>
      </c>
      <c r="H7" s="18" t="s">
        <v>27</v>
      </c>
      <c r="I7" s="20">
        <v>10200</v>
      </c>
      <c r="J7" s="18" t="s">
        <v>28</v>
      </c>
      <c r="K7" s="17" t="s">
        <v>15</v>
      </c>
    </row>
    <row r="8" ht="54.75" customHeight="1" spans="1:12">
      <c r="A8" s="11">
        <v>5</v>
      </c>
      <c r="B8" s="12" t="s">
        <v>29</v>
      </c>
      <c r="C8" s="21" t="s">
        <v>30</v>
      </c>
      <c r="D8" s="12" t="s">
        <v>22</v>
      </c>
      <c r="E8" s="14">
        <v>24563</v>
      </c>
      <c r="F8" s="15">
        <v>1</v>
      </c>
      <c r="G8" s="16">
        <f t="shared" si="0"/>
        <v>24563</v>
      </c>
      <c r="H8" s="12" t="s">
        <v>13</v>
      </c>
      <c r="I8" s="14">
        <v>9800</v>
      </c>
      <c r="J8" s="12" t="s">
        <v>31</v>
      </c>
      <c r="K8" s="17" t="s">
        <v>15</v>
      </c>
    </row>
    <row r="9" ht="54.75" customHeight="1" spans="1:12">
      <c r="A9" s="11">
        <v>6</v>
      </c>
      <c r="B9" s="18" t="s">
        <v>32</v>
      </c>
      <c r="C9" s="19" t="s">
        <v>33</v>
      </c>
      <c r="D9" s="18" t="s">
        <v>22</v>
      </c>
      <c r="E9" s="20">
        <v>31137</v>
      </c>
      <c r="F9" s="15">
        <v>1</v>
      </c>
      <c r="G9" s="16">
        <f t="shared" si="0"/>
        <v>31137</v>
      </c>
      <c r="H9" s="18" t="s">
        <v>34</v>
      </c>
      <c r="I9" s="20">
        <v>4800</v>
      </c>
      <c r="J9" s="18" t="s">
        <v>35</v>
      </c>
      <c r="K9" s="17" t="s">
        <v>15</v>
      </c>
    </row>
    <row r="10" ht="54.75" customHeight="1" spans="1:12">
      <c r="A10" s="11">
        <v>7</v>
      </c>
      <c r="B10" s="12" t="s">
        <v>36</v>
      </c>
      <c r="C10" s="21" t="s">
        <v>37</v>
      </c>
      <c r="D10" s="12" t="s">
        <v>38</v>
      </c>
      <c r="E10" s="14">
        <v>117600</v>
      </c>
      <c r="F10" s="15">
        <v>1</v>
      </c>
      <c r="G10" s="16">
        <f t="shared" si="0"/>
        <v>117600</v>
      </c>
      <c r="H10" s="12" t="s">
        <v>39</v>
      </c>
      <c r="I10" s="14">
        <v>125000</v>
      </c>
      <c r="J10" s="12" t="s">
        <v>40</v>
      </c>
      <c r="K10" s="17" t="s">
        <v>15</v>
      </c>
    </row>
    <row r="11" ht="54.75" customHeight="1" spans="1:12">
      <c r="A11" s="11">
        <v>8</v>
      </c>
      <c r="B11" s="18" t="s">
        <v>41</v>
      </c>
      <c r="C11" s="19" t="s">
        <v>42</v>
      </c>
      <c r="D11" s="18" t="s">
        <v>43</v>
      </c>
      <c r="E11" s="20">
        <v>60622</v>
      </c>
      <c r="F11" s="15">
        <v>1</v>
      </c>
      <c r="G11" s="16">
        <f t="shared" si="0"/>
        <v>60622</v>
      </c>
      <c r="H11" s="18" t="s">
        <v>44</v>
      </c>
      <c r="I11" s="20">
        <v>92000</v>
      </c>
      <c r="J11" s="18" t="s">
        <v>45</v>
      </c>
      <c r="K11" s="17" t="s">
        <v>15</v>
      </c>
    </row>
    <row r="12" ht="54.75" customHeight="1" spans="1:12">
      <c r="A12" s="11">
        <v>9</v>
      </c>
      <c r="B12" s="12" t="s">
        <v>46</v>
      </c>
      <c r="C12" s="12" t="s">
        <v>47</v>
      </c>
      <c r="D12" s="12" t="s">
        <v>22</v>
      </c>
      <c r="E12" s="20">
        <v>6040</v>
      </c>
      <c r="F12" s="15">
        <v>1</v>
      </c>
      <c r="G12" s="16">
        <v>6040</v>
      </c>
      <c r="H12" s="12" t="s">
        <v>48</v>
      </c>
      <c r="I12" s="22">
        <v>6990</v>
      </c>
      <c r="J12" s="12" t="s">
        <v>49</v>
      </c>
      <c r="K12" s="17" t="s">
        <v>15</v>
      </c>
    </row>
    <row r="13" ht="29" customHeight="1" spans="1:12">
      <c r="A13" s="23" t="s">
        <v>50</v>
      </c>
      <c r="B13" s="23"/>
      <c r="C13" s="23"/>
      <c r="D13" s="23"/>
      <c r="E13" s="23"/>
      <c r="F13" s="23"/>
      <c r="G13" s="24">
        <v>549920</v>
      </c>
      <c r="H13" s="25"/>
      <c r="I13" s="25"/>
      <c r="J13" s="25"/>
      <c r="K13" s="25"/>
    </row>
    <row r="14" spans="1:12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 ht="21.75" customHeight="1" spans="1:12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ht="18" customHeight="1" spans="1:12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ht="18" customHeight="1" spans="1:1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ht="18" customHeight="1" spans="1:1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ht="18" customHeight="1" spans="1:1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ht="18" customHeight="1" spans="1:1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</row>
    <row r="21" ht="18" customHeight="1" spans="1:1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</row>
    <row r="22" ht="18" customHeight="1" spans="1:1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</row>
    <row r="23" ht="18" customHeight="1" spans="1:1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</row>
  </sheetData>
  <mergeCells count="12">
    <mergeCell ref="A2:K2"/>
    <mergeCell ref="A13:F13"/>
    <mergeCell ref="B14:L14"/>
    <mergeCell ref="A15:K15"/>
    <mergeCell ref="A16:K16"/>
    <mergeCell ref="A17:K17"/>
    <mergeCell ref="A18:K18"/>
    <mergeCell ref="A19:K19"/>
    <mergeCell ref="A20:K20"/>
    <mergeCell ref="A21:K21"/>
    <mergeCell ref="A22:K22"/>
    <mergeCell ref="A23:K23"/>
  </mergeCells>
  <pageMargins left="0.75" right="0.75" top="1" bottom="1" header="0.511811023622047" footer="0.511811023622047"/>
  <pageSetup paperSize="1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:E1"/>
    </sheetView>
  </sheetViews>
  <sheetFormatPr defaultColWidth="8.67619047619048" defaultRowHeight="15" outlineLevelCol="4"/>
  <cols>
    <col min="1" max="1" width="30" customWidth="1"/>
    <col min="2" max="2" width="28" customWidth="1"/>
    <col min="3" max="3" width="18" customWidth="1"/>
    <col min="4" max="4" width="28" customWidth="1"/>
    <col min="5" max="5" width="18" customWidth="1"/>
  </cols>
  <sheetData>
    <row r="1" ht="30" customHeight="1" spans="1:5">
      <c r="A1" s="1" t="s">
        <v>51</v>
      </c>
      <c r="B1" s="1"/>
      <c r="C1" s="1"/>
      <c r="D1" s="1"/>
      <c r="E1" s="1"/>
    </row>
    <row r="3" ht="27.75" customHeight="1" spans="1:5">
      <c r="A3" s="2" t="s">
        <v>52</v>
      </c>
      <c r="B3" s="2" t="s">
        <v>3</v>
      </c>
      <c r="C3" s="2" t="s">
        <v>53</v>
      </c>
      <c r="D3" s="2" t="s">
        <v>7</v>
      </c>
      <c r="E3" s="2" t="s">
        <v>54</v>
      </c>
    </row>
    <row r="4" ht="21.75" customHeight="1" spans="1:5">
      <c r="A4" s="3" t="s">
        <v>55</v>
      </c>
      <c r="B4" s="3" t="s">
        <v>12</v>
      </c>
      <c r="C4" s="4">
        <v>156800</v>
      </c>
      <c r="D4" s="3" t="s">
        <v>13</v>
      </c>
      <c r="E4" s="4">
        <v>162000</v>
      </c>
    </row>
    <row r="5" ht="21.75" customHeight="1" spans="1:5">
      <c r="A5" s="5" t="s">
        <v>56</v>
      </c>
      <c r="B5" s="5" t="s">
        <v>57</v>
      </c>
      <c r="C5" s="4">
        <v>21435</v>
      </c>
      <c r="D5" s="5" t="s">
        <v>13</v>
      </c>
      <c r="E5" s="4">
        <v>23000</v>
      </c>
    </row>
    <row r="6" ht="21.75" customHeight="1" spans="1:5">
      <c r="A6" s="3" t="s">
        <v>58</v>
      </c>
      <c r="B6" s="3" t="s">
        <v>12</v>
      </c>
      <c r="C6" s="4">
        <v>5800</v>
      </c>
      <c r="D6" s="3" t="s">
        <v>22</v>
      </c>
      <c r="E6" s="4">
        <v>6200</v>
      </c>
    </row>
    <row r="7" ht="21.75" customHeight="1" spans="1:5">
      <c r="A7" s="5" t="s">
        <v>59</v>
      </c>
      <c r="B7" s="5" t="s">
        <v>22</v>
      </c>
      <c r="C7" s="4">
        <v>9500</v>
      </c>
      <c r="D7" s="5" t="s">
        <v>27</v>
      </c>
      <c r="E7" s="4">
        <v>10200</v>
      </c>
    </row>
    <row r="8" ht="21.75" customHeight="1" spans="1:5">
      <c r="A8" s="3" t="s">
        <v>60</v>
      </c>
      <c r="B8" s="3" t="s">
        <v>22</v>
      </c>
      <c r="C8" s="4">
        <v>8900</v>
      </c>
      <c r="D8" s="3" t="s">
        <v>13</v>
      </c>
      <c r="E8" s="4">
        <v>9800</v>
      </c>
    </row>
    <row r="9" ht="21.75" customHeight="1" spans="1:5">
      <c r="A9" s="5" t="s">
        <v>61</v>
      </c>
      <c r="B9" s="5" t="s">
        <v>22</v>
      </c>
      <c r="C9" s="4">
        <v>4200</v>
      </c>
      <c r="D9" s="5" t="s">
        <v>34</v>
      </c>
      <c r="E9" s="4">
        <v>4800</v>
      </c>
    </row>
    <row r="10" ht="21.75" customHeight="1" spans="1:5">
      <c r="A10" s="3" t="s">
        <v>62</v>
      </c>
      <c r="B10" s="3" t="s">
        <v>63</v>
      </c>
      <c r="C10" s="4">
        <v>117600</v>
      </c>
      <c r="D10" s="3" t="s">
        <v>64</v>
      </c>
      <c r="E10" s="4">
        <v>125000</v>
      </c>
    </row>
    <row r="11" ht="21.75" customHeight="1" spans="1:5">
      <c r="A11" s="5" t="s">
        <v>65</v>
      </c>
      <c r="B11" s="5" t="s">
        <v>66</v>
      </c>
      <c r="C11" s="4">
        <v>85000</v>
      </c>
      <c r="D11" s="5" t="s">
        <v>67</v>
      </c>
      <c r="E11" s="4">
        <v>92000</v>
      </c>
    </row>
    <row r="12" ht="24.75" customHeight="1" spans="1:5">
      <c r="A12" s="6" t="s">
        <v>68</v>
      </c>
      <c r="B12" s="7"/>
      <c r="C12" s="8">
        <f>SUM(C4:C11)</f>
        <v>409235</v>
      </c>
      <c r="D12" s="7"/>
      <c r="E12" s="8">
        <f>SUM(E4:E11)</f>
        <v>433000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Presupuesto</vt:lpstr>
      <vt:lpstr>Comparativo Proveedores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Amorin</cp:lastModifiedBy>
  <cp:revision>0</cp:revision>
  <dcterms:created xsi:type="dcterms:W3CDTF">2026-04-17T03:02:00Z</dcterms:created>
  <dcterms:modified xsi:type="dcterms:W3CDTF">2026-04-21T15:24:28Z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632B2CB9843341DFB190C45101DB26EB_13</vt:lpwstr>
  </property>
  <property fmtid="{D5CDD505-2E9C-101B-9397-08002B2CF9AE}" pid="3" name="KSOProductBuildVer">
    <vt:lpwstr>2058-12.1.0.25242</vt:lpwstr>
  </property>
  <property fmtid="{D5CDD505-2E9C-101B-9397-08002B2CF9AE}" pid="4" name="CalculationRule">
    <vt:i4>0</vt:i4>
  </property>
</Properties>
</file>